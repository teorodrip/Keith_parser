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28800" windowHeight="12000" firstSheet="1" activeTab="1"/>
  </bookViews>
  <sheets>
    <sheet name="_CIQHiddenCacheSheet" sheetId="5" state="veryHidden" r:id="rId1"/>
    <sheet name="multiples" sheetId="1" r:id="rId2"/>
  </sheets>
  <definedNames>
    <definedName name="CIQWBGuid" hidden="1">"2acc5b4d-1131-41c9-af04-7a8bc48cac46"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"12/20/2018 14:28:42"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Feuil1A4" hidden="1">multiples!$A$5:$A$11</definedName>
    <definedName name="IQRFeuil1B4" hidden="1">multiples!$B$5:$B$11</definedName>
    <definedName name="IQRFeuil1C4" hidden="1">multiples!$C$5:$C$11</definedName>
    <definedName name="IQRFeuil1D4" hidden="1">multiples!$D$5:$D$11</definedName>
    <definedName name="IQRFeuil1E4" hidden="1">multiples!$E$5:$E$11</definedName>
    <definedName name="IQRFeuil1F4" hidden="1">multiples!$F$5:$F$11</definedName>
    <definedName name="IQRFeuil1G4" hidden="1">multiples!$G$5:$G$11</definedName>
    <definedName name="IQRFeuil1H4" hidden="1">multiples!$H$5:$H$11</definedName>
    <definedName name="IQRFeuil1I4" hidden="1">multiples!$I$5:$I$11</definedName>
    <definedName name="IQRFeuil1J4" hidden="1">multiples!$J$5:$J$11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A4" i="1"/>
</calcChain>
</file>

<file path=xl/sharedStrings.xml><?xml version="1.0" encoding="utf-8"?>
<sst xmlns="http://schemas.openxmlformats.org/spreadsheetml/2006/main" count="26" uniqueCount="20">
  <si>
    <t>Ticker/ID</t>
  </si>
  <si>
    <t>ENXTPA:KER</t>
  </si>
  <si>
    <t>Currency</t>
  </si>
  <si>
    <t>EUR</t>
  </si>
  <si>
    <t>Frequency</t>
  </si>
  <si>
    <t>Start date</t>
  </si>
  <si>
    <t>End date</t>
  </si>
  <si>
    <t>M</t>
  </si>
  <si>
    <t>IQ_TEV_TOTAL_REV</t>
  </si>
  <si>
    <t>IQ_TEV_EBITDA</t>
  </si>
  <si>
    <t>IQ_TEV_EBIT</t>
  </si>
  <si>
    <t>IQ_PE_EXCL</t>
  </si>
  <si>
    <t>IQ_PE_NORMALIZED</t>
  </si>
  <si>
    <t>IQ_PBV</t>
  </si>
  <si>
    <t>IQ_PTBV</t>
  </si>
  <si>
    <t>IQ_TEV_UFCF</t>
  </si>
  <si>
    <t>IQ_MARKET_CAP_LFCF</t>
  </si>
  <si>
    <t>NM</t>
  </si>
  <si>
    <t>IQ_PRICEDATE</t>
  </si>
  <si>
    <t>AwABTAdUUkFESU5HAUj/////AVADAAAAUUNJUVJBTkdFVi5FTlhUUEE6S0VSLklRX01BUktFVF9DQVBfTEZDRi4uMzEvMDcvMjAxOC4wNy8wMi8yMDE5Li4uTS5NQVJLRVRfQ0FQX0ZDRgQAAAAwLAoABwAAAAIAAAAJMTcsMzc5MTMzAgAAAAkxNyw4MzY0NzkCAAAACTE3LDU5NjM3MwIAAAAJMTUsMDAwOTM2AgAAAAkxNCw2MTExNDICAAAACTE1LDYzODg5OQIAAAAJMTYsNjA4Nzg5C6cS7h+N1ghZtCvuH43WCEtDSVFSQU5HRVYuRU5YVFBBOktFUi5JUV9QUklDRURBVEUuMzEvMDcvMjAxOC4wNy8wMi8yMDE5LkVVUi4uLk0uUEVSSU9EX0RBVEUEAAAAMCwKAAcAAAAFAAAACjMxLzA3LzIwMTgFAAAACjMxLzA4LzIwMTgFAAAACjI4LzA5LzIwMTgFAAAACjMxLzEwLzIwMTgFAAAACjMwLzExLzIwMTgFAAAACjMxLzEyLzIwMTgFAAAACjMxLzAxLzIwMTkLpxLuH43WCFm0K+4fjdYIRUNJUVJBTkdFVi5FTlhUUEE6S0VSLklRX1BUQlYuLjMxLzA3LzIwMTguMDcvMDIvMjAxOS4uLk0uUF9UQU5HSUJMRV9CVgQAAAAwLAoABwAAAAMAAAACTk0DAAAAAk5NAwAAAAJOTQMAAAACTk0DAAAAAk5NAwAAAAJOTQMAAAACTk0LpxLuH43WCFm0K+4fjd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</si>
</sst>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FF33CC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89108"/>
      <name val="Calibri"/>
      <family val="2"/>
      <scheme val="minor"/>
    </font>
    <font>
      <sz val="10"/>
      <color rgb="FFF89108"/>
      <name val="Arial"/>
      <family val="2"/>
    </font>
    <font>
      <sz val="11"/>
      <color rgb="FFFF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0" fillId="2" borderId="1" xfId="0" applyFill="1" applyBorder="1"/>
    <xf numFmtId="14" fontId="2" fillId="2" borderId="1" xfId="0" applyNumberFormat="1" applyFont="1" applyFill="1" applyBorder="1"/>
    <xf numFmtId="0" fontId="3" fillId="3" borderId="1" xfId="0" applyFont="1" applyFill="1" applyBorder="1"/>
    <xf numFmtId="0" fontId="0" fillId="4" borderId="1" xfId="0" applyFill="1" applyBorder="1"/>
    <xf numFmtId="0" fontId="3" fillId="5" borderId="1" xfId="0" applyFont="1" applyFill="1" applyBorder="1"/>
    <xf numFmtId="0" fontId="4" fillId="6" borderId="1" xfId="0" applyFont="1" applyFill="1" applyBorder="1"/>
    <xf numFmtId="0" fontId="5" fillId="6" borderId="1" xfId="0" applyFont="1" applyFill="1" applyBorder="1" applyAlignment="1">
      <alignment horizontal="left"/>
    </xf>
    <xf numFmtId="0" fontId="6" fillId="6" borderId="1" xfId="0" applyFont="1" applyFill="1" applyBorder="1"/>
    <xf numFmtId="0" fontId="0" fillId="6" borderId="1" xfId="0" applyFill="1" applyBorder="1"/>
    <xf numFmtId="0" fontId="0" fillId="5" borderId="1" xfId="0" applyFill="1" applyBorder="1"/>
    <xf numFmtId="0" fontId="0" fillId="0" borderId="1" xfId="0" applyBorder="1"/>
    <xf numFmtId="14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91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baseColWidth="10" defaultRowHeight="15" x14ac:dyDescent="0.25"/>
  <sheetData>
    <row r="1" spans="1:2" x14ac:dyDescent="0.25">
      <c r="A1">
        <v>2</v>
      </c>
      <c r="B1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tabSelected="1" workbookViewId="0">
      <selection activeCell="A4" sqref="A4"/>
    </sheetView>
  </sheetViews>
  <sheetFormatPr baseColWidth="10" defaultRowHeight="15" x14ac:dyDescent="0.25"/>
  <cols>
    <col min="1" max="1" width="14.140625" style="6" customWidth="1"/>
    <col min="2" max="2" width="19.85546875" style="6" customWidth="1"/>
    <col min="3" max="3" width="15.7109375" style="6" customWidth="1"/>
    <col min="4" max="4" width="12.42578125" style="6" customWidth="1"/>
    <col min="5" max="5" width="11.42578125" style="6"/>
    <col min="6" max="6" width="19.28515625" style="6" customWidth="1"/>
    <col min="7" max="7" width="10.42578125" style="6" customWidth="1"/>
    <col min="8" max="8" width="15.42578125" style="6" customWidth="1"/>
    <col min="9" max="9" width="18.5703125" style="6" customWidth="1"/>
    <col min="10" max="10" width="23" style="6" customWidth="1"/>
    <col min="11" max="16384" width="11.42578125" style="13"/>
  </cols>
  <sheetData>
    <row r="1" spans="1:10" s="3" customFormat="1" x14ac:dyDescent="0.25">
      <c r="A1" s="1" t="s">
        <v>0</v>
      </c>
      <c r="B1" s="2" t="s">
        <v>1</v>
      </c>
      <c r="D1" s="1" t="s">
        <v>2</v>
      </c>
      <c r="E1" s="2" t="s">
        <v>3</v>
      </c>
      <c r="F1" s="1" t="s">
        <v>4</v>
      </c>
      <c r="G1" s="2" t="s">
        <v>7</v>
      </c>
    </row>
    <row r="2" spans="1:10" s="3" customFormat="1" x14ac:dyDescent="0.25">
      <c r="A2" s="2">
        <v>0</v>
      </c>
      <c r="B2" s="1" t="s">
        <v>5</v>
      </c>
      <c r="C2" s="4">
        <v>43312</v>
      </c>
      <c r="D2" s="1" t="s">
        <v>6</v>
      </c>
      <c r="E2" s="4">
        <v>43503</v>
      </c>
    </row>
    <row r="3" spans="1:10" s="11" customFormat="1" x14ac:dyDescent="0.25">
      <c r="A3" s="10" t="s">
        <v>18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12</v>
      </c>
      <c r="G3" s="8" t="s">
        <v>13</v>
      </c>
      <c r="H3" s="8" t="s">
        <v>14</v>
      </c>
      <c r="I3" s="9" t="s">
        <v>15</v>
      </c>
      <c r="J3" s="9" t="s">
        <v>16</v>
      </c>
    </row>
    <row r="4" spans="1:10" s="12" customFormat="1" x14ac:dyDescent="0.25">
      <c r="A4" s="5" t="str">
        <f>_xll.ciqfunctions.udf.CIQRANGEV($B1,A3,$C2,$E2,$E1,,,$G1,"period_date")</f>
        <v>period_date</v>
      </c>
      <c r="B4" s="7" t="str">
        <f>_xll.ciqfunctions.udf.CIQRANGEV($B1,B3,,$C2,$E2,,,$G1,"tev_total_rev")</f>
        <v>tev_total_rev</v>
      </c>
      <c r="C4" s="7" t="str">
        <f>_xll.ciqfunctions.udf.CIQRANGEV($B1,C3,,$C2,$E2,,,$G1,"tev_EBITDA")</f>
        <v>tev_EBITDA</v>
      </c>
      <c r="D4" s="7" t="str">
        <f>_xll.ciqfunctions.udf.CIQRANGEV($B1,D3,,$C2,$E2,,,$G1,"tev_EBIT")</f>
        <v>tev_EBIT</v>
      </c>
      <c r="E4" s="7" t="str">
        <f>_xll.ciqfunctions.udf.CIQRANGEV($B1,E3,,$C2,$E2,,,$G1,"p_total_EPS")</f>
        <v>p_total_EPS</v>
      </c>
      <c r="F4" s="7" t="str">
        <f>_xll.ciqfunctions.udf.CIQRANGEV($B1,F3,,$C2,$E2,,,$G1,"p_normalized_EPS")</f>
        <v>p_normalized_EPS</v>
      </c>
      <c r="G4" s="7" t="str">
        <f>_xll.ciqfunctions.udf.CIQRANGEV($B1,G3,,$C2,$E2,,,$G1,"p_BV")</f>
        <v>p_BV</v>
      </c>
      <c r="H4" s="7" t="str">
        <f>_xll.ciqfunctions.udf.CIQRANGEV($B1,H3,,$C2,$E2,,,$G1,"p_tangible_BV")</f>
        <v>p_tangible_BV</v>
      </c>
      <c r="I4" s="7" t="str">
        <f>_xll.ciqfunctions.udf.CIQRANGEV($B1,I3,,$C2,$E2,,,$G1,"tev_unlevered_FCF")</f>
        <v>tev_unlevered_FCF</v>
      </c>
      <c r="J4" s="7" t="str">
        <f>_xll.ciqfunctions.udf.CIQRANGEV($B1,J3,,$C2,$E2,,,$G1,"market_cap_FCF")</f>
        <v>market_cap_FCF</v>
      </c>
    </row>
    <row r="5" spans="1:10" x14ac:dyDescent="0.25">
      <c r="A5" s="14">
        <v>43312</v>
      </c>
      <c r="B5" s="6">
        <v>3.59</v>
      </c>
      <c r="C5" s="6">
        <v>14.66</v>
      </c>
      <c r="D5" s="6">
        <v>17</v>
      </c>
      <c r="E5" s="6">
        <v>25.49</v>
      </c>
      <c r="F5" s="6">
        <v>28.53</v>
      </c>
      <c r="G5" s="6">
        <v>6.25</v>
      </c>
      <c r="H5" s="6" t="s">
        <v>17</v>
      </c>
      <c r="I5" s="6">
        <v>17.850000000000001</v>
      </c>
      <c r="J5" s="6">
        <v>17.38</v>
      </c>
    </row>
    <row r="6" spans="1:10" x14ac:dyDescent="0.25">
      <c r="A6" s="14">
        <v>43343</v>
      </c>
      <c r="B6" s="6">
        <v>3.68</v>
      </c>
      <c r="C6" s="6">
        <v>15.03</v>
      </c>
      <c r="D6" s="6">
        <v>17.420000000000002</v>
      </c>
      <c r="E6" s="6">
        <v>26.16</v>
      </c>
      <c r="F6" s="6">
        <v>29.28</v>
      </c>
      <c r="G6" s="6">
        <v>6.41</v>
      </c>
      <c r="H6" s="6" t="s">
        <v>17</v>
      </c>
      <c r="I6" s="6">
        <v>18.3</v>
      </c>
      <c r="J6" s="6">
        <v>17.84</v>
      </c>
    </row>
    <row r="7" spans="1:10" x14ac:dyDescent="0.25">
      <c r="A7" s="14">
        <v>43371</v>
      </c>
      <c r="B7" s="6">
        <v>3.64</v>
      </c>
      <c r="C7" s="6">
        <v>14.84</v>
      </c>
      <c r="D7" s="6">
        <v>17.2</v>
      </c>
      <c r="E7" s="6">
        <v>25.81</v>
      </c>
      <c r="F7" s="6">
        <v>28.89</v>
      </c>
      <c r="G7" s="6">
        <v>6.32</v>
      </c>
      <c r="H7" s="6" t="s">
        <v>17</v>
      </c>
      <c r="I7" s="6">
        <v>18.07</v>
      </c>
      <c r="J7" s="6">
        <v>17.600000000000001</v>
      </c>
    </row>
    <row r="8" spans="1:10" x14ac:dyDescent="0.25">
      <c r="A8" s="14">
        <v>43404</v>
      </c>
      <c r="B8" s="6">
        <v>3.13</v>
      </c>
      <c r="C8" s="6">
        <v>12.75</v>
      </c>
      <c r="D8" s="6">
        <v>14.78</v>
      </c>
      <c r="E8" s="6">
        <v>22</v>
      </c>
      <c r="F8" s="6">
        <v>24.63</v>
      </c>
      <c r="G8" s="6">
        <v>5.39</v>
      </c>
      <c r="H8" s="6" t="s">
        <v>17</v>
      </c>
      <c r="I8" s="6">
        <v>15.53</v>
      </c>
      <c r="J8" s="6">
        <v>15</v>
      </c>
    </row>
    <row r="9" spans="1:10" x14ac:dyDescent="0.25">
      <c r="A9" s="14">
        <v>43434</v>
      </c>
      <c r="B9" s="6">
        <v>3.05</v>
      </c>
      <c r="C9" s="6">
        <v>12.44</v>
      </c>
      <c r="D9" s="6">
        <v>14.42</v>
      </c>
      <c r="E9" s="6">
        <v>21.47</v>
      </c>
      <c r="F9" s="6">
        <v>24.03</v>
      </c>
      <c r="G9" s="6">
        <v>5.26</v>
      </c>
      <c r="H9" s="6" t="s">
        <v>17</v>
      </c>
      <c r="I9" s="6">
        <v>15.15</v>
      </c>
      <c r="J9" s="6">
        <v>14.61</v>
      </c>
    </row>
    <row r="10" spans="1:10" x14ac:dyDescent="0.25">
      <c r="A10" s="14">
        <v>43465</v>
      </c>
      <c r="B10" s="6">
        <v>3.25</v>
      </c>
      <c r="C10" s="6">
        <v>13.26</v>
      </c>
      <c r="D10" s="6">
        <v>15.38</v>
      </c>
      <c r="E10" s="6">
        <v>23.01</v>
      </c>
      <c r="F10" s="6">
        <v>25.75</v>
      </c>
      <c r="G10" s="6">
        <v>5.64</v>
      </c>
      <c r="H10" s="6" t="s">
        <v>17</v>
      </c>
      <c r="I10" s="6">
        <v>16.149999999999999</v>
      </c>
      <c r="J10" s="6">
        <v>15.64</v>
      </c>
    </row>
    <row r="11" spans="1:10" x14ac:dyDescent="0.25">
      <c r="A11" s="14">
        <v>43496</v>
      </c>
      <c r="B11" s="6">
        <v>3.44</v>
      </c>
      <c r="C11" s="6">
        <v>14.04</v>
      </c>
      <c r="D11" s="6">
        <v>16.28</v>
      </c>
      <c r="E11" s="6">
        <v>24.46</v>
      </c>
      <c r="F11" s="6">
        <v>27.37</v>
      </c>
      <c r="G11" s="6">
        <v>5.99</v>
      </c>
      <c r="H11" s="6" t="s">
        <v>17</v>
      </c>
      <c r="I11" s="6">
        <v>17.100000000000001</v>
      </c>
      <c r="J11" s="6">
        <v>16.61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multiples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unchartech</dc:creator>
  <cp:lastModifiedBy>unchartech</cp:lastModifiedBy>
  <dcterms:created xsi:type="dcterms:W3CDTF">2019-02-07T14:54:17Z</dcterms:created>
  <dcterms:modified xsi:type="dcterms:W3CDTF">2019-02-07T16:20:52Z</dcterms:modified>
</cp:coreProperties>
</file>